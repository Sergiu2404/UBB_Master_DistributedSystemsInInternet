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BB_Master_DistributedSystemsInInternet\SEM1\CMES\Assignments\SLR\"/>
    </mc:Choice>
  </mc:AlternateContent>
  <xr:revisionPtr revIDLastSave="0" documentId="13_ncr:1_{5D1B4BE5-84F7-4CB6-9359-1347F0BA18C0}" xr6:coauthVersionLast="47" xr6:coauthVersionMax="47" xr10:uidLastSave="{00000000-0000-0000-0000-000000000000}"/>
  <bookViews>
    <workbookView xWindow="28680" yWindow="-120" windowWidth="29040" windowHeight="15720" activeTab="1" xr2:uid="{431F9001-2C7A-4328-88F6-25EE5ED836FD}"/>
  </bookViews>
  <sheets>
    <sheet name="Selected Papers" sheetId="1" r:id="rId1"/>
    <sheet name="Initial List of Papers" sheetId="10" r:id="rId2"/>
    <sheet name="Data Extraction Form" sheetId="2" r:id="rId3"/>
    <sheet name="Tabulated Data" sheetId="9" r:id="rId4"/>
    <sheet name="Charts" sheetId="4" r:id="rId5"/>
  </sheets>
  <definedNames>
    <definedName name="_xlchart.v1.0" hidden="1">'Tabulated Data'!$F$16:$F$20</definedName>
    <definedName name="_xlchart.v1.1" hidden="1">'Tabulated Data'!$G$16:$G$20</definedName>
    <definedName name="_xlchart.v1.2" hidden="1">'Tabulated Data'!$B$24:$B$26</definedName>
    <definedName name="_xlchart.v1.3" hidden="1">'Tabulated Data'!$C$23</definedName>
    <definedName name="_xlchart.v1.4" hidden="1">'Tabulated Data'!$C$24:$C$26</definedName>
    <definedName name="_xlchart.v1.5" hidden="1">'Tabulated Data'!$B$24:$B$26</definedName>
    <definedName name="_xlchart.v1.6" hidden="1">'Tabulated Data'!$C$23</definedName>
    <definedName name="_xlchart.v1.7" hidden="1">'Tabulated Data'!$C$24:$C$26</definedName>
    <definedName name="ExternalData_1" localSheetId="3" hidden="1">'Tabulated Data'!$A$1:$O$11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9" l="1"/>
  <c r="M16" i="9"/>
  <c r="J19" i="9"/>
  <c r="J18" i="9"/>
  <c r="J17" i="9"/>
  <c r="J1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2C2111-7A86-4CDF-9806-0A0EBCA5FB68}" keepAlive="1" name="Query - excel" description="Connection to the 'excel' query in the workbook." type="5" refreshedVersion="0" background="1">
    <dbPr connection="Provider=Microsoft.Mashup.OleDb.1;Data Source=$Workbook$;Location=excel;Extended Properties=&quot;&quot;" command="SELECT * FROM [excel]"/>
  </connection>
  <connection id="2" xr16:uid="{8795813D-1066-47E9-AEB4-12E13BC093F6}" keepAlive="1" name="Query - excel (2)" description="Connection to the 'excel (2)' query in the workbook." type="5" refreshedVersion="8" background="1" saveData="1">
    <dbPr connection="Provider=Microsoft.Mashup.OleDb.1;Data Source=$Workbook$;Location=&quot;excel (2)&quot;;Extended Properties=&quot;&quot;" command="SELECT * FROM [excel (2)]"/>
  </connection>
  <connection id="3" xr16:uid="{F50AE6C4-ECC4-4BD4-9C1C-9B4F9D625233}" keepAlive="1" name="Query - excel (3)" description="Connection to the 'excel (3)' query in the workbook." type="5" refreshedVersion="8" background="1" saveData="1">
    <dbPr connection="Provider=Microsoft.Mashup.OleDb.1;Data Source=$Workbook$;Location=&quot;excel (3)&quot;;Extended Properties=&quot;&quot;" command="SELECT * FROM [excel (3)]"/>
  </connection>
</connections>
</file>

<file path=xl/sharedStrings.xml><?xml version="1.0" encoding="utf-8"?>
<sst xmlns="http://schemas.openxmlformats.org/spreadsheetml/2006/main" count="300" uniqueCount="208">
  <si>
    <t>Year</t>
  </si>
  <si>
    <t>Title</t>
  </si>
  <si>
    <t>Journal / Conference</t>
  </si>
  <si>
    <t>Link</t>
  </si>
  <si>
    <t>Paper</t>
  </si>
  <si>
    <t>Authors</t>
  </si>
  <si>
    <t>Current Challenges and Future Perspectives in Testing IoT Systems</t>
  </si>
  <si>
    <t>Bruno Lima, Rui Pinto</t>
  </si>
  <si>
    <t>Asma Touqi, Faisal Iradat, Abdur Rakib, Nazim Taskin, Hesam Jadidbonab, Zaheeruddin Asi, Olivier Haas</t>
  </si>
  <si>
    <t>Systematic Review of Fuzzing in IoT: Evaluating Techniques, Vulnerabilities,and Research Gaps</t>
  </si>
  <si>
    <t>IEEE Sensors Reviews</t>
  </si>
  <si>
    <t>https://doi.org/10.1109/SR.2025.3628264</t>
  </si>
  <si>
    <t>https://doi.org/10.21203/rs.3.rs-4963553/v1</t>
  </si>
  <si>
    <t>Research Square</t>
  </si>
  <si>
    <t>A Systematic mapping study on Internet of Things</t>
  </si>
  <si>
    <t>Aspects of Quality in Internet of Things (IoT): A Systematic Review</t>
  </si>
  <si>
    <t>Internet of Things: A Survey on Enabling Technologies, Protocols, and Applications</t>
  </si>
  <si>
    <t>Advancements in Machine Learning-Based Intrusion Detection in IoT: Research Trends and Challenges</t>
  </si>
  <si>
    <t>A survey on IoT security challenges and their solutions using machine learning and blockchain technology</t>
  </si>
  <si>
    <t>10.1109/SERP4IoT.2019.00009</t>
  </si>
  <si>
    <t>Aleksandr Lepekhin, Alexandra Borremans, Igor Ilin, Sami Jantunen</t>
  </si>
  <si>
    <t>IEEE/ACM 1st International Workshop on Software Engineering Research &amp; Practices for the Internet of Things</t>
  </si>
  <si>
    <t>Ahmed, B. S., Bures, M., Frajtak, K., &amp; Cerny, T.</t>
  </si>
  <si>
    <t>https://doi.org/10.1109/ACCESS.2019.2893493</t>
  </si>
  <si>
    <t xml:space="preserve"> IEEE Access</t>
  </si>
  <si>
    <t>IEEE communications surveys &amp; tutorials</t>
  </si>
  <si>
    <t>Al-Fuqaha, A., Guizani, M., Mohammadi, M., Aledhari, M., &amp; Ayyash, M.</t>
  </si>
  <si>
    <t>10.1109/COMST.2015.2444095</t>
  </si>
  <si>
    <t>Research Trends and Challenges</t>
  </si>
  <si>
    <t>https://doi.org/10.3390/a18040209</t>
  </si>
  <si>
    <t>Sharma, N., &amp; Dhiman, P.</t>
  </si>
  <si>
    <t>10.1007/s10586-025-05208-0</t>
  </si>
  <si>
    <t>Cluster Computing 28(5):3-40</t>
  </si>
  <si>
    <t>PatrIoT: IoT Automated Interoperability and Integration Testing Framework</t>
  </si>
  <si>
    <t>10.1109/ICST49551.2021.00059</t>
  </si>
  <si>
    <t>14th IEEE Conference on Software Testing, Verification and Validation (ICST)</t>
  </si>
  <si>
    <t>Bures M., Ahmed B. S., Rechtberger V., Klima M.</t>
  </si>
  <si>
    <t>Security Assessment of an Internet of Things Device: Penetration Testing Methodology</t>
  </si>
  <si>
    <t>10.1007/978-3-031-60227-6_26</t>
  </si>
  <si>
    <t>Good Practices and New Perspectives in Information Systems and Technologies (pp.284-294)</t>
  </si>
  <si>
    <t>Cimpean D. A., Vochin M., Craciunescu R., Dragulinescu A. C.</t>
  </si>
  <si>
    <t>A Multi-Method Study of Internet of Things Systems Testing in Industry</t>
  </si>
  <si>
    <t>IEEE Internet of Things Journal</t>
  </si>
  <si>
    <t>10.1109/JIOT.2023.3291233</t>
  </si>
  <si>
    <t>Bankó M. B., Dyszewski S., Králová, M., Limpek, M. B., Papaioannou, M., Choudhary, G., &amp; Dragoni, N.</t>
  </si>
  <si>
    <t>Sabir F., Gueheneuc Y., Minani J. B.</t>
  </si>
  <si>
    <t>Paper Title</t>
  </si>
  <si>
    <t>IoT Layer</t>
  </si>
  <si>
    <t>IoT / Cloud</t>
  </si>
  <si>
    <t>Perception / Net</t>
  </si>
  <si>
    <t>Edge / Cloud</t>
  </si>
  <si>
    <t>Cross-layer</t>
  </si>
  <si>
    <t>Perception</t>
  </si>
  <si>
    <t>Hardware / Net</t>
  </si>
  <si>
    <t>System-level</t>
  </si>
  <si>
    <t>Network</t>
  </si>
  <si>
    <t>Testing Methodology</t>
  </si>
  <si>
    <t>Quality Attribute</t>
  </si>
  <si>
    <t>Tools / Frameworks</t>
  </si>
  <si>
    <t>Dataset Type</t>
  </si>
  <si>
    <t>Automation Level</t>
  </si>
  <si>
    <t>Systematic Review</t>
  </si>
  <si>
    <t>Current Challenges and Future Perspectives in Testing IoT Systems: A Comprehensive Review</t>
  </si>
  <si>
    <t>Interoperability</t>
  </si>
  <si>
    <t>Test-as-a-Service</t>
  </si>
  <si>
    <t>Literature (SLR)</t>
  </si>
  <si>
    <t>Low (Conceptual)</t>
  </si>
  <si>
    <t>Systematic Review of Fuzzing in IoT: Evaluating Techniques, Vulnerabilities, and Research Gaps</t>
  </si>
  <si>
    <t>Hybrid Fuzzing</t>
  </si>
  <si>
    <t>Security</t>
  </si>
  <si>
    <t>AFL, Boofuzz, Peach</t>
  </si>
  <si>
    <t>Firmware / Binary</t>
  </si>
  <si>
    <t>Medium (Guided)</t>
  </si>
  <si>
    <t>Model-Based Testing (MBT)</t>
  </si>
  <si>
    <t>PatrIoT Framework</t>
  </si>
  <si>
    <t>Smart Home / Industrial</t>
  </si>
  <si>
    <t>High (Automated)</t>
  </si>
  <si>
    <t>A Systematic Mapping Study on Internet of Things</t>
  </si>
  <si>
    <t>Mapping Study</t>
  </si>
  <si>
    <t>Reliability</t>
  </si>
  <si>
    <t>Classification Scheme</t>
  </si>
  <si>
    <t>Literature (Mapping)</t>
  </si>
  <si>
    <t>None (Manual)</t>
  </si>
  <si>
    <t>ISO 25010 Analysis</t>
  </si>
  <si>
    <t>Quality Profiles / QMEs</t>
  </si>
  <si>
    <t>80+ Technical Studies</t>
  </si>
  <si>
    <t>Physical / Net</t>
  </si>
  <si>
    <t>Protocol Benchmarking</t>
  </si>
  <si>
    <t>Performance</t>
  </si>
  <si>
    <t>MQTT, CoAP, AMQP</t>
  </si>
  <si>
    <t>Protocol Traffic</t>
  </si>
  <si>
    <t>Medium (Scripted)</t>
  </si>
  <si>
    <t>Penetration Testing</t>
  </si>
  <si>
    <t>Recon / Exploitation Tools</t>
  </si>
  <si>
    <t>Commercial IoT Device</t>
  </si>
  <si>
    <t>Low (Expert-led)</t>
  </si>
  <si>
    <t>Triangulation (Survey/Interview)</t>
  </si>
  <si>
    <t>Practicality</t>
  </si>
  <si>
    <t>Qualtrics, Interview NVivo</t>
  </si>
  <si>
    <t>Industrial Practitioners</t>
  </si>
  <si>
    <t>ML (LSTM / RNN)</t>
  </si>
  <si>
    <t>UNSW-NB15, BoT-IoT</t>
  </si>
  <si>
    <t>Network Intrusion</t>
  </si>
  <si>
    <t>High (ML-driven)</t>
  </si>
  <si>
    <t>A Survey on IoT Security Challenges and Their Solutions Using Machine Learning and Blockchain Technology</t>
  </si>
  <si>
    <t>Network / Application</t>
  </si>
  <si>
    <t>Blockchain &amp; ML Hybrid</t>
  </si>
  <si>
    <t>Data Integrity</t>
  </si>
  <si>
    <t>Smart Contracts / Anomaly Det.</t>
  </si>
  <si>
    <t>Transaction Logs</t>
  </si>
  <si>
    <t>High (Decentralized)</t>
  </si>
  <si>
    <t>ISO/IEC 25010 Mapping</t>
  </si>
  <si>
    <t>Testability</t>
  </si>
  <si>
    <t>Triangulation</t>
  </si>
  <si>
    <t>ML (LSTM/RNN)</t>
  </si>
  <si>
    <t>Blockchain/ML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</si>
  <si>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</si>
  <si>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</si>
  <si>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</si>
  <si>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</si>
  <si>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</si>
  <si>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</si>
  <si>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</si>
  <si>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</si>
  <si>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</si>
  <si>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</si>
  <si>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PaperID</t>
  </si>
  <si>
    <t>Paper_Type</t>
  </si>
  <si>
    <t>IoT_Layer</t>
  </si>
  <si>
    <t>Primary_Focus</t>
  </si>
  <si>
    <t>Methodology</t>
  </si>
  <si>
    <t>Unit_Testing</t>
  </si>
  <si>
    <t>Integration_Testing</t>
  </si>
  <si>
    <t>System_Testing</t>
  </si>
  <si>
    <t>Security_Testing</t>
  </si>
  <si>
    <t>Key_Findings</t>
  </si>
  <si>
    <t>Identified 5 core challenges: heterogeneity; scale; mobility; resource constraints; security</t>
  </si>
  <si>
    <t>Identified research gap in state-aware fuzzing; benchmarked 3 tools: AFL; Peach; Boofuzz</t>
  </si>
  <si>
    <t>Framework + Experimental</t>
  </si>
  <si>
    <t>Quantified reduction in manual effort; automated test generation for CI environments</t>
  </si>
  <si>
    <t>Systematic Mapping Study</t>
  </si>
  <si>
    <t>Categorized research distribution across layers; lack of reproducible industrial benchmarks</t>
  </si>
  <si>
    <t>Only 18% of methodologies provided mathematical models for MTTF calculation</t>
  </si>
  <si>
    <t>Technical Survey</t>
  </si>
  <si>
    <t>Network/Physical</t>
  </si>
  <si>
    <t>Compared MQTT; CoAP; AMQP; CoAP shows lower overhead but weaker state management</t>
  </si>
  <si>
    <t>Experimental / Case Study</t>
  </si>
  <si>
    <t>Hardware/Network</t>
  </si>
  <si>
    <t>IoT-specific methodology uncovered 40% more vulnerabilities than generic audits</t>
  </si>
  <si>
    <t>Empirical (Qual + Quant)</t>
  </si>
  <si>
    <t>Majority rely on emulators; high cost of physical testbeds identified as bottleneck</t>
  </si>
  <si>
    <t>Experimental (ML Evaluation)</t>
  </si>
  <si>
    <t>LSTM-based models achieved 98% detection accuracy for serialized attacks</t>
  </si>
  <si>
    <t>Experimental Framework</t>
  </si>
  <si>
    <t>Network/Application</t>
  </si>
  <si>
    <t>Hybrid model achieved 95% detection rate with 20% communication latency increase</t>
  </si>
  <si>
    <t>Cloud</t>
  </si>
  <si>
    <t>Cross-Layer</t>
  </si>
  <si>
    <t>Unit Testing</t>
  </si>
  <si>
    <t>Real Devices</t>
  </si>
  <si>
    <t>Simulated / Emulated</t>
  </si>
  <si>
    <t>Public Dataset</t>
  </si>
  <si>
    <t>0 (Literature only)</t>
  </si>
  <si>
    <t>0 (Firmware Binaries)</t>
  </si>
  <si>
    <t>0 (Custom integration)</t>
  </si>
  <si>
    <t>0 (Mapping only)</t>
  </si>
  <si>
    <t>0 (Quality Modeling)</t>
  </si>
  <si>
    <t>1 (Protocol Traffic)</t>
  </si>
  <si>
    <t>0 (Physical Device)</t>
  </si>
  <si>
    <t>0 (Industry Survey)</t>
  </si>
  <si>
    <t>1 (UNSW-NB15 / BoT-IoT)</t>
  </si>
  <si>
    <t>1 (Generated Logs)</t>
  </si>
  <si>
    <t>Coverage Level</t>
  </si>
  <si>
    <t>High</t>
  </si>
  <si>
    <t>Medium</t>
  </si>
  <si>
    <t>Low</t>
  </si>
  <si>
    <t>Count</t>
  </si>
  <si>
    <t>Not explicitly specified</t>
  </si>
  <si>
    <t>18% (for reliability)</t>
  </si>
  <si>
    <t xml:space="preserve"> +40% (compared to generic tools)</t>
  </si>
  <si>
    <t>https://doi.org/10.48550/arXiv.1610.05971</t>
  </si>
  <si>
    <t>https://doi.org/10.48550/arXiv.2509.09158</t>
  </si>
  <si>
    <t>https://doi.org/10.48550/arXiv.2511.17283</t>
  </si>
  <si>
    <t>https://doi.org/10.48550/arXiv.2411.11929</t>
  </si>
  <si>
    <t>https://doi.org/10.48550/arXiv.2309.14742</t>
  </si>
  <si>
    <t>10.21203/rs.3.rs-4963553/v1</t>
  </si>
  <si>
    <t>https://jisom.rau.ro/Vol.12%20No.2%20-%202018/JISOM-WI18-A10.pdf</t>
  </si>
  <si>
    <t>https://doi.org/10.48550/arXiv.2501.04321</t>
  </si>
  <si>
    <t>https://doi.org/10.1145/3356317.3356326</t>
  </si>
  <si>
    <t>https://doi.org/10.32604/jiot.2022.040966</t>
  </si>
  <si>
    <t>10.3390/s22114159</t>
  </si>
  <si>
    <t>10.3390/s22239498</t>
  </si>
  <si>
    <t>https://www.scitepress.org/publishedPapers/2025/132675/pdf</t>
  </si>
  <si>
    <t>https://doi.org/10.32604/csse.2023.039736</t>
  </si>
  <si>
    <t>https://doi.org/10.1016/j.asoc.2025.112973</t>
  </si>
  <si>
    <t>10.1109/JIOT.2024.3435496</t>
  </si>
  <si>
    <t>10.1109/JIOT.2025.3545737</t>
  </si>
  <si>
    <t>10.1109/ACCESS.2019.2893493</t>
  </si>
  <si>
    <t>10.1109/PowerAfrica57932.2023.10363234</t>
  </si>
  <si>
    <t>10.1109/JSTARS.2024.3358058</t>
  </si>
  <si>
    <t>https://doi.org/10.48550/arXiv.2410.12345</t>
  </si>
  <si>
    <t>https://doi.org/10.3390/iot7010007</t>
  </si>
  <si>
    <t>https://doi.org/10.3390/iot6030056</t>
  </si>
  <si>
    <t>10.3390/a18040209</t>
  </si>
  <si>
    <t>10.1109/SR.2025.3628264</t>
  </si>
  <si>
    <t>https://doi.org/10.3390/iot6020020</t>
  </si>
  <si>
    <t>https://www.researchgate.net/publication/329144529_A_Systematic_mapping_study_on_Internet_of_Things</t>
  </si>
  <si>
    <t>https://doi.org/10.3390/s24051580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</si>
</sst>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Focus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C2-432B-8C64-5D060A69B5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C2-432B-8C64-5D060A69B5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C2-432B-8C64-5D060A69B5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C2-432B-8C64-5D060A69B5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C2-432B-8C64-5D060A69B5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6C2-432B-8C64-5D060A69B5A3}"/>
              </c:ext>
            </c:extLst>
          </c:dPt>
          <c:cat>
            <c:strRef>
              <c:f>'Tabulated Data'!$B$16:$B$21</c:f>
              <c:strCache>
                <c:ptCount val="6"/>
                <c:pt idx="0">
                  <c:v>Interoperability</c:v>
                </c:pt>
                <c:pt idx="1">
                  <c:v>Security</c:v>
                </c:pt>
                <c:pt idx="2">
                  <c:v>Reliability</c:v>
                </c:pt>
                <c:pt idx="3">
                  <c:v>Testability</c:v>
                </c:pt>
                <c:pt idx="4">
                  <c:v>Practicality</c:v>
                </c:pt>
                <c:pt idx="5">
                  <c:v>Data Integrity</c:v>
                </c:pt>
              </c:strCache>
            </c:strRef>
          </c:cat>
          <c:val>
            <c:numRef>
              <c:f>'Tabulated Data'!$C$16:$C$21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6C2-432B-8C64-5D060A69B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Testing Techniques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358705161854772E-2"/>
          <c:y val="2.5446002710397823E-2"/>
          <c:w val="0.91564129483814527"/>
          <c:h val="0.51291159835041467"/>
        </c:manualLayout>
      </c:layout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'Tabulated Data'!$I$16:$I$19</c:f>
              <c:strCache>
                <c:ptCount val="4"/>
                <c:pt idx="0">
                  <c:v>Unit Testing</c:v>
                </c:pt>
                <c:pt idx="1">
                  <c:v>Integration_Testing</c:v>
                </c:pt>
                <c:pt idx="2">
                  <c:v>System_Testing</c:v>
                </c:pt>
                <c:pt idx="3">
                  <c:v>Security_Testing</c:v>
                </c:pt>
              </c:strCache>
            </c:strRef>
          </c:cat>
          <c:val>
            <c:numRef>
              <c:f>'Tabulated Data'!$J$16:$J$19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C-446A-AE32-7AE32C49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9156624"/>
        <c:axId val="1039157584"/>
        <c:axId val="0"/>
      </c:bar3DChart>
      <c:catAx>
        <c:axId val="103915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39157584"/>
        <c:crosses val="autoZero"/>
        <c:auto val="1"/>
        <c:lblAlgn val="ctr"/>
        <c:lblOffset val="100"/>
        <c:noMultiLvlLbl val="0"/>
      </c:catAx>
      <c:valAx>
        <c:axId val="103915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3915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Environment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'Tabulated Data'!$L$16:$L$18</c:f>
              <c:strCache>
                <c:ptCount val="3"/>
                <c:pt idx="0">
                  <c:v>Real Devices</c:v>
                </c:pt>
                <c:pt idx="1">
                  <c:v>Simulated / Emulated</c:v>
                </c:pt>
                <c:pt idx="2">
                  <c:v>Public Dataset</c:v>
                </c:pt>
              </c:strCache>
            </c:strRef>
          </c:cat>
          <c:val>
            <c:numRef>
              <c:f>'Tabulated Data'!$M$16:$M$18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F-47EB-B4E8-B2B1BC62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3825744"/>
        <c:axId val="1043826224"/>
      </c:barChart>
      <c:catAx>
        <c:axId val="104382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43826224"/>
        <c:crosses val="autoZero"/>
        <c:auto val="1"/>
        <c:lblAlgn val="ctr"/>
        <c:lblOffset val="100"/>
        <c:noMultiLvlLbl val="0"/>
      </c:catAx>
      <c:valAx>
        <c:axId val="104382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4382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o-RO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Layers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treemap" uniqueId="{C4CF3698-4463-469C-A65C-334AEA869A42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o-RO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Coverage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sunburst" uniqueId="{3044165A-DA80-4710-B0F4-BFC9D4A23629}">
          <cx:tx>
            <cx:txData>
              <cx:f>_xlchart.v1.3</cx:f>
              <cx:v>Count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microsoft.com/office/2014/relationships/chartEx" Target="../charts/chartEx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1F221-E884-4310-91E9-2D26C9446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E1D6520-39A2-4B38-BB28-32ABC2C8B2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95600"/>
              <a:ext cx="4572000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15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536BD4-0F98-49DA-8E23-0D7B06BD4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306705</xdr:colOff>
      <xdr:row>31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D9200C-F4AE-4A85-8849-CDB84D247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302895</xdr:colOff>
      <xdr:row>47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8A562CB-66E6-4AE9-968D-044B8C62BB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91200"/>
              <a:ext cx="4570095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93238CC-9F59-4481-8C28-742DA11DF856}" autoFormatId="16" applyNumberFormats="0" applyBorderFormats="0" applyFontFormats="0" applyPatternFormats="0" applyAlignmentFormats="0" applyWidthHeightFormats="0">
  <queryTableRefresh nextId="18">
    <queryTableFields count="15">
      <queryTableField id="1" name="PaperID" tableColumnId="1"/>
      <queryTableField id="4" name="Paper_Type" tableColumnId="4"/>
      <queryTableField id="5" name="IoT_Layer" tableColumnId="5"/>
      <queryTableField id="6" name="Primary_Focus" tableColumnId="6"/>
      <queryTableField id="16" dataBound="0" tableColumnId="16"/>
      <queryTableField id="7" name="Methodology" tableColumnId="7"/>
      <queryTableField id="8" name="Unit_Testing" tableColumnId="8"/>
      <queryTableField id="9" name="Integration_Testing" tableColumnId="9"/>
      <queryTableField id="10" name="System_Testing" tableColumnId="10"/>
      <queryTableField id="11" name="Security_Testing" tableColumnId="11"/>
      <queryTableField id="13" dataBound="0" tableColumnId="13"/>
      <queryTableField id="14" dataBound="0" tableColumnId="14"/>
      <queryTableField id="15" dataBound="0" tableColumnId="15"/>
      <queryTableField id="17" dataBound="0" tableColumnId="17"/>
      <queryTableField id="12" name="Key_Findings" tableColumnId="12"/>
    </queryTableFields>
    <queryTableDeletedFields count="2">
      <deletedField name="Paper"/>
      <deletedField name="Ye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D392B-6ED3-44C7-AFCF-18CB92DAC975}" name="excel__3" displayName="excel__3" ref="A1:O11" tableType="queryTable" totalsRowShown="0">
  <autoFilter ref="A1:O11" xr:uid="{0F3D392B-6ED3-44C7-AFCF-18CB92DAC975}"/>
  <tableColumns count="15">
    <tableColumn id="1" xr3:uid="{ACD61337-5A14-4A36-B8A7-74A373592C11}" uniqueName="1" name="PaperID" queryTableFieldId="1"/>
    <tableColumn id="4" xr3:uid="{C84EC098-C28D-4EC0-BB29-4369A1E622BC}" uniqueName="4" name="Paper_Type" queryTableFieldId="4"/>
    <tableColumn id="5" xr3:uid="{6E2D07B5-C891-45D8-BA75-BE05C22AC42C}" uniqueName="5" name="IoT_Layer" queryTableFieldId="5"/>
    <tableColumn id="6" xr3:uid="{41444C6B-9386-4F3E-A507-B695944ECA5A}" uniqueName="6" name="Primary_Focus" queryTableFieldId="6"/>
    <tableColumn id="16" xr3:uid="{2C5F517E-0D4A-45DE-BE17-E0DCE189F85A}" uniqueName="16" name="Coverage Level" queryTableFieldId="16"/>
    <tableColumn id="7" xr3:uid="{518C16C7-57AE-4779-8893-301687B0CDD6}" uniqueName="7" name="Methodology" queryTableFieldId="7"/>
    <tableColumn id="8" xr3:uid="{FCEE5641-50AF-43D7-99D8-0C4A541FF7EF}" uniqueName="8" name="Unit_Testing" queryTableFieldId="8"/>
    <tableColumn id="9" xr3:uid="{89C41904-A74C-4D79-9CFD-3D1D110A5CBE}" uniqueName="9" name="Integration_Testing" queryTableFieldId="9"/>
    <tableColumn id="10" xr3:uid="{F3A5D3D7-2276-4C70-A89E-5CD9AAA9FADD}" uniqueName="10" name="System_Testing" queryTableFieldId="10"/>
    <tableColumn id="11" xr3:uid="{BB4E481E-3519-4AE0-972D-BE902921B43A}" uniqueName="11" name="Security_Testing" queryTableFieldId="11"/>
    <tableColumn id="13" xr3:uid="{2D94299D-2A48-4F79-8380-E2E834D61E41}" uniqueName="13" name="Real Devices" queryTableFieldId="13"/>
    <tableColumn id="14" xr3:uid="{20ACA2D6-5843-484A-9AA0-9B7679673A7B}" uniqueName="14" name="Simulated / Emulated" queryTableFieldId="14"/>
    <tableColumn id="15" xr3:uid="{B6D4C530-9649-4FB1-9761-6118FF62C596}" uniqueName="15" name="Public Dataset" queryTableFieldId="15"/>
    <tableColumn id="17" xr3:uid="{419F20C5-04C5-4AE2-B237-38125C496BCF}" uniqueName="17" name="Performance" queryTableFieldId="17"/>
    <tableColumn id="12" xr3:uid="{0477D6ED-E1A2-4B6F-846A-7E268B2B2E3A}" uniqueName="12" name="Key_Findings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ACCESS.2019.2893493" TargetMode="External"/><Relationship Id="rId2" Type="http://schemas.openxmlformats.org/officeDocument/2006/relationships/hyperlink" Target="https://doi.org/10.21203/rs.3.rs-4963553/v1" TargetMode="External"/><Relationship Id="rId1" Type="http://schemas.openxmlformats.org/officeDocument/2006/relationships/hyperlink" Target="https://doi.org/10.1109/SR.2025.3628264" TargetMode="External"/><Relationship Id="rId4" Type="http://schemas.openxmlformats.org/officeDocument/2006/relationships/hyperlink" Target="https://doi.org/10.3390/a1804020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5B3B-4A6A-4F93-9A13-BC5C89691996}">
  <dimension ref="A1:F11"/>
  <sheetViews>
    <sheetView workbookViewId="0">
      <selection activeCell="B31" sqref="B31"/>
    </sheetView>
  </sheetViews>
  <sheetFormatPr defaultRowHeight="14.4" x14ac:dyDescent="0.3"/>
  <cols>
    <col min="1" max="1" width="34.21875" customWidth="1"/>
    <col min="2" max="2" width="29.21875" customWidth="1"/>
    <col min="3" max="3" width="53.109375" customWidth="1"/>
    <col min="4" max="4" width="37.21875" customWidth="1"/>
    <col min="5" max="5" width="32.6640625" customWidth="1"/>
  </cols>
  <sheetData>
    <row r="1" spans="1:6" x14ac:dyDescent="0.3">
      <c r="A1" t="s">
        <v>4</v>
      </c>
      <c r="B1" t="s">
        <v>0</v>
      </c>
      <c r="C1" t="s">
        <v>1</v>
      </c>
      <c r="D1" t="s">
        <v>5</v>
      </c>
      <c r="E1" t="s">
        <v>2</v>
      </c>
      <c r="F1" t="s">
        <v>3</v>
      </c>
    </row>
    <row r="2" spans="1:6" x14ac:dyDescent="0.3">
      <c r="A2" t="s">
        <v>116</v>
      </c>
      <c r="B2">
        <v>2022</v>
      </c>
      <c r="C2" t="s">
        <v>6</v>
      </c>
      <c r="D2" t="s">
        <v>7</v>
      </c>
      <c r="E2" t="s">
        <v>10</v>
      </c>
      <c r="F2" s="1" t="s">
        <v>11</v>
      </c>
    </row>
    <row r="3" spans="1:6" x14ac:dyDescent="0.3">
      <c r="A3" t="s">
        <v>117</v>
      </c>
      <c r="B3">
        <v>2024</v>
      </c>
      <c r="C3" t="s">
        <v>9</v>
      </c>
      <c r="D3" t="s">
        <v>8</v>
      </c>
      <c r="E3" t="s">
        <v>13</v>
      </c>
      <c r="F3" s="1" t="s">
        <v>12</v>
      </c>
    </row>
    <row r="4" spans="1:6" x14ac:dyDescent="0.3">
      <c r="A4" t="s">
        <v>118</v>
      </c>
      <c r="B4">
        <v>2021</v>
      </c>
      <c r="C4" t="s">
        <v>33</v>
      </c>
      <c r="D4" t="s">
        <v>36</v>
      </c>
      <c r="E4" t="s">
        <v>35</v>
      </c>
      <c r="F4" t="s">
        <v>34</v>
      </c>
    </row>
    <row r="5" spans="1:6" x14ac:dyDescent="0.3">
      <c r="A5" t="s">
        <v>119</v>
      </c>
      <c r="B5">
        <v>2019</v>
      </c>
      <c r="C5" t="s">
        <v>14</v>
      </c>
      <c r="D5" t="s">
        <v>20</v>
      </c>
      <c r="E5" t="s">
        <v>21</v>
      </c>
      <c r="F5" t="s">
        <v>19</v>
      </c>
    </row>
    <row r="6" spans="1:6" x14ac:dyDescent="0.3">
      <c r="A6" t="s">
        <v>120</v>
      </c>
      <c r="B6">
        <v>2019</v>
      </c>
      <c r="C6" t="s">
        <v>15</v>
      </c>
      <c r="D6" t="s">
        <v>22</v>
      </c>
      <c r="E6" t="s">
        <v>24</v>
      </c>
      <c r="F6" s="1" t="s">
        <v>23</v>
      </c>
    </row>
    <row r="7" spans="1:6" x14ac:dyDescent="0.3">
      <c r="A7" t="s">
        <v>121</v>
      </c>
      <c r="B7">
        <v>2015</v>
      </c>
      <c r="C7" t="s">
        <v>16</v>
      </c>
      <c r="D7" t="s">
        <v>26</v>
      </c>
      <c r="E7" t="s">
        <v>25</v>
      </c>
      <c r="F7" t="s">
        <v>27</v>
      </c>
    </row>
    <row r="8" spans="1:6" x14ac:dyDescent="0.3">
      <c r="A8" t="s">
        <v>122</v>
      </c>
      <c r="B8">
        <v>2024</v>
      </c>
      <c r="C8" t="s">
        <v>37</v>
      </c>
      <c r="D8" t="s">
        <v>40</v>
      </c>
      <c r="E8" t="s">
        <v>39</v>
      </c>
      <c r="F8" t="s">
        <v>38</v>
      </c>
    </row>
    <row r="9" spans="1:6" x14ac:dyDescent="0.3">
      <c r="A9" t="s">
        <v>123</v>
      </c>
      <c r="B9">
        <v>2023</v>
      </c>
      <c r="C9" t="s">
        <v>41</v>
      </c>
      <c r="D9" t="s">
        <v>45</v>
      </c>
      <c r="E9" t="s">
        <v>42</v>
      </c>
      <c r="F9" t="s">
        <v>43</v>
      </c>
    </row>
    <row r="10" spans="1:6" x14ac:dyDescent="0.3">
      <c r="A10" t="s">
        <v>124</v>
      </c>
      <c r="B10">
        <v>2025</v>
      </c>
      <c r="C10" t="s">
        <v>17</v>
      </c>
      <c r="D10" t="s">
        <v>44</v>
      </c>
      <c r="E10" t="s">
        <v>28</v>
      </c>
      <c r="F10" s="1" t="s">
        <v>29</v>
      </c>
    </row>
    <row r="11" spans="1:6" x14ac:dyDescent="0.3">
      <c r="A11" t="s">
        <v>125</v>
      </c>
      <c r="B11">
        <v>2025</v>
      </c>
      <c r="C11" t="s">
        <v>18</v>
      </c>
      <c r="D11" t="s">
        <v>30</v>
      </c>
      <c r="E11" t="s">
        <v>32</v>
      </c>
      <c r="F11" t="s">
        <v>31</v>
      </c>
    </row>
  </sheetData>
  <phoneticPr fontId="2" type="noConversion"/>
  <hyperlinks>
    <hyperlink ref="F2" r:id="rId1" xr:uid="{510D8862-1493-48E2-9163-960BC2845ECB}"/>
    <hyperlink ref="F3" r:id="rId2" xr:uid="{0E5E5955-57C5-4820-BBC0-7D9459D9C189}"/>
    <hyperlink ref="F6" r:id="rId3" xr:uid="{02A31608-4423-49BB-A83C-0914BBFA3FFF}"/>
    <hyperlink ref="F10" r:id="rId4" xr:uid="{149808FC-0671-4949-BFF3-C195DEBDC8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313B-2970-4B2D-8FBA-01910D3A34BF}">
  <dimension ref="A1:A30"/>
  <sheetViews>
    <sheetView tabSelected="1" workbookViewId="0">
      <selection activeCell="G15" sqref="G15"/>
    </sheetView>
  </sheetViews>
  <sheetFormatPr defaultRowHeight="14.4" x14ac:dyDescent="0.3"/>
  <sheetData>
    <row r="1" spans="1:1" x14ac:dyDescent="0.3">
      <c r="A1" t="s">
        <v>180</v>
      </c>
    </row>
    <row r="2" spans="1:1" x14ac:dyDescent="0.3">
      <c r="A2" t="s">
        <v>181</v>
      </c>
    </row>
    <row r="3" spans="1:1" x14ac:dyDescent="0.3">
      <c r="A3" t="s">
        <v>182</v>
      </c>
    </row>
    <row r="4" spans="1:1" x14ac:dyDescent="0.3">
      <c r="A4" t="s">
        <v>183</v>
      </c>
    </row>
    <row r="5" spans="1:1" x14ac:dyDescent="0.3">
      <c r="A5" t="s">
        <v>184</v>
      </c>
    </row>
    <row r="6" spans="1:1" x14ac:dyDescent="0.3">
      <c r="A6" t="s">
        <v>185</v>
      </c>
    </row>
    <row r="7" spans="1:1" x14ac:dyDescent="0.3">
      <c r="A7" t="s">
        <v>186</v>
      </c>
    </row>
    <row r="8" spans="1:1" x14ac:dyDescent="0.3">
      <c r="A8" t="s">
        <v>187</v>
      </c>
    </row>
    <row r="9" spans="1:1" x14ac:dyDescent="0.3">
      <c r="A9" t="s">
        <v>188</v>
      </c>
    </row>
    <row r="10" spans="1:1" x14ac:dyDescent="0.3">
      <c r="A10" t="s">
        <v>189</v>
      </c>
    </row>
    <row r="11" spans="1:1" x14ac:dyDescent="0.3">
      <c r="A11" t="s">
        <v>190</v>
      </c>
    </row>
    <row r="12" spans="1:1" x14ac:dyDescent="0.3">
      <c r="A12" t="s">
        <v>191</v>
      </c>
    </row>
    <row r="13" spans="1:1" x14ac:dyDescent="0.3">
      <c r="A13" t="s">
        <v>192</v>
      </c>
    </row>
    <row r="14" spans="1:1" x14ac:dyDescent="0.3">
      <c r="A14" t="s">
        <v>193</v>
      </c>
    </row>
    <row r="15" spans="1:1" x14ac:dyDescent="0.3">
      <c r="A15" t="s">
        <v>27</v>
      </c>
    </row>
    <row r="16" spans="1:1" x14ac:dyDescent="0.3">
      <c r="A16" t="s">
        <v>194</v>
      </c>
    </row>
    <row r="17" spans="1:1" x14ac:dyDescent="0.3">
      <c r="A17" t="s">
        <v>195</v>
      </c>
    </row>
    <row r="18" spans="1:1" x14ac:dyDescent="0.3">
      <c r="A18" t="s">
        <v>196</v>
      </c>
    </row>
    <row r="19" spans="1:1" x14ac:dyDescent="0.3">
      <c r="A19" t="s">
        <v>197</v>
      </c>
    </row>
    <row r="20" spans="1:1" x14ac:dyDescent="0.3">
      <c r="A20" t="s">
        <v>198</v>
      </c>
    </row>
    <row r="21" spans="1:1" x14ac:dyDescent="0.3">
      <c r="A21" t="s">
        <v>199</v>
      </c>
    </row>
    <row r="22" spans="1:1" x14ac:dyDescent="0.3">
      <c r="A22" t="s">
        <v>200</v>
      </c>
    </row>
    <row r="23" spans="1:1" x14ac:dyDescent="0.3">
      <c r="A23" t="s">
        <v>201</v>
      </c>
    </row>
    <row r="24" spans="1:1" x14ac:dyDescent="0.3">
      <c r="A24" t="s">
        <v>202</v>
      </c>
    </row>
    <row r="25" spans="1:1" x14ac:dyDescent="0.3">
      <c r="A25" t="s">
        <v>203</v>
      </c>
    </row>
    <row r="26" spans="1:1" x14ac:dyDescent="0.3">
      <c r="A26" t="s">
        <v>31</v>
      </c>
    </row>
    <row r="27" spans="1:1" x14ac:dyDescent="0.3">
      <c r="A27" t="s">
        <v>204</v>
      </c>
    </row>
    <row r="28" spans="1:1" x14ac:dyDescent="0.3">
      <c r="A28" t="s">
        <v>205</v>
      </c>
    </row>
    <row r="29" spans="1:1" x14ac:dyDescent="0.3">
      <c r="A29" t="s">
        <v>206</v>
      </c>
    </row>
    <row r="30" spans="1:1" x14ac:dyDescent="0.3">
      <c r="A30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314E-AD23-4952-82ED-E124EB87764F}">
  <dimension ref="A1:H11"/>
  <sheetViews>
    <sheetView workbookViewId="0">
      <selection sqref="A1:A11"/>
    </sheetView>
  </sheetViews>
  <sheetFormatPr defaultRowHeight="14.4" x14ac:dyDescent="0.3"/>
  <cols>
    <col min="2" max="2" width="32.88671875" customWidth="1"/>
    <col min="3" max="3" width="29.5546875" customWidth="1"/>
    <col min="4" max="4" width="19.33203125" customWidth="1"/>
    <col min="5" max="5" width="23.77734375" customWidth="1"/>
    <col min="6" max="6" width="25.5546875" customWidth="1"/>
    <col min="7" max="7" width="30.77734375" customWidth="1"/>
    <col min="8" max="8" width="28.33203125" customWidth="1"/>
  </cols>
  <sheetData>
    <row r="1" spans="1:8" x14ac:dyDescent="0.3">
      <c r="A1" t="s">
        <v>4</v>
      </c>
      <c r="B1" t="s">
        <v>46</v>
      </c>
      <c r="C1" t="s">
        <v>47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">
      <c r="A2" t="s">
        <v>116</v>
      </c>
      <c r="B2" t="s">
        <v>62</v>
      </c>
      <c r="C2" t="s">
        <v>48</v>
      </c>
      <c r="D2" t="s">
        <v>61</v>
      </c>
      <c r="E2" t="s">
        <v>63</v>
      </c>
      <c r="F2" t="s">
        <v>64</v>
      </c>
      <c r="G2" t="s">
        <v>65</v>
      </c>
      <c r="H2" t="s">
        <v>66</v>
      </c>
    </row>
    <row r="3" spans="1:8" x14ac:dyDescent="0.3">
      <c r="A3" t="s">
        <v>117</v>
      </c>
      <c r="B3" t="s">
        <v>67</v>
      </c>
      <c r="C3" t="s">
        <v>49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</row>
    <row r="4" spans="1:8" x14ac:dyDescent="0.3">
      <c r="A4" t="s">
        <v>118</v>
      </c>
      <c r="B4" t="s">
        <v>33</v>
      </c>
      <c r="C4" t="s">
        <v>50</v>
      </c>
      <c r="D4" t="s">
        <v>73</v>
      </c>
      <c r="E4" t="s">
        <v>63</v>
      </c>
      <c r="F4" t="s">
        <v>74</v>
      </c>
      <c r="G4" t="s">
        <v>75</v>
      </c>
      <c r="H4" t="s">
        <v>76</v>
      </c>
    </row>
    <row r="5" spans="1:8" x14ac:dyDescent="0.3">
      <c r="A5" t="s">
        <v>119</v>
      </c>
      <c r="B5" t="s">
        <v>77</v>
      </c>
      <c r="C5" t="s">
        <v>51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</row>
    <row r="6" spans="1:8" x14ac:dyDescent="0.3">
      <c r="A6" t="s">
        <v>120</v>
      </c>
      <c r="B6" t="s">
        <v>15</v>
      </c>
      <c r="C6" t="s">
        <v>52</v>
      </c>
      <c r="D6" t="s">
        <v>83</v>
      </c>
      <c r="E6" t="s">
        <v>79</v>
      </c>
      <c r="F6" t="s">
        <v>84</v>
      </c>
      <c r="G6" t="s">
        <v>85</v>
      </c>
      <c r="H6" t="s">
        <v>82</v>
      </c>
    </row>
    <row r="7" spans="1:8" x14ac:dyDescent="0.3">
      <c r="A7" t="s">
        <v>121</v>
      </c>
      <c r="B7" t="s">
        <v>16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</row>
    <row r="8" spans="1:8" x14ac:dyDescent="0.3">
      <c r="A8" t="s">
        <v>122</v>
      </c>
      <c r="B8" t="s">
        <v>37</v>
      </c>
      <c r="C8" t="s">
        <v>53</v>
      </c>
      <c r="D8" t="s">
        <v>92</v>
      </c>
      <c r="E8" t="s">
        <v>69</v>
      </c>
      <c r="F8" t="s">
        <v>93</v>
      </c>
      <c r="G8" t="s">
        <v>94</v>
      </c>
      <c r="H8" t="s">
        <v>95</v>
      </c>
    </row>
    <row r="9" spans="1:8" x14ac:dyDescent="0.3">
      <c r="A9" t="s">
        <v>123</v>
      </c>
      <c r="B9" t="s">
        <v>41</v>
      </c>
      <c r="C9" t="s">
        <v>54</v>
      </c>
      <c r="D9" t="s">
        <v>96</v>
      </c>
      <c r="E9" t="s">
        <v>97</v>
      </c>
      <c r="F9" t="s">
        <v>98</v>
      </c>
      <c r="G9" t="s">
        <v>99</v>
      </c>
      <c r="H9" t="s">
        <v>82</v>
      </c>
    </row>
    <row r="10" spans="1:8" x14ac:dyDescent="0.3">
      <c r="A10" t="s">
        <v>124</v>
      </c>
      <c r="B10" t="s">
        <v>17</v>
      </c>
      <c r="C10" t="s">
        <v>55</v>
      </c>
      <c r="D10" t="s">
        <v>100</v>
      </c>
      <c r="E10" t="s">
        <v>69</v>
      </c>
      <c r="F10" t="s">
        <v>101</v>
      </c>
      <c r="G10" t="s">
        <v>102</v>
      </c>
      <c r="H10" t="s">
        <v>103</v>
      </c>
    </row>
    <row r="11" spans="1:8" x14ac:dyDescent="0.3">
      <c r="A11" t="s">
        <v>125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A127-4DA2-4AD8-AB39-3D66C28BF922}">
  <dimension ref="A1:O27"/>
  <sheetViews>
    <sheetView zoomScale="67" workbookViewId="0">
      <selection activeCell="C20" sqref="C20"/>
    </sheetView>
  </sheetViews>
  <sheetFormatPr defaultRowHeight="14.4" x14ac:dyDescent="0.3"/>
  <cols>
    <col min="1" max="1" width="10.109375" bestFit="1" customWidth="1"/>
    <col min="2" max="2" width="26.21875" bestFit="1" customWidth="1"/>
    <col min="3" max="3" width="18.88671875" bestFit="1" customWidth="1"/>
    <col min="4" max="4" width="16" bestFit="1" customWidth="1"/>
    <col min="5" max="5" width="16" customWidth="1"/>
    <col min="6" max="6" width="24.5546875" bestFit="1" customWidth="1"/>
    <col min="7" max="7" width="14" bestFit="1" customWidth="1"/>
    <col min="8" max="8" width="20.21875" bestFit="1" customWidth="1"/>
    <col min="9" max="9" width="17.109375" bestFit="1" customWidth="1"/>
    <col min="10" max="10" width="17.77734375" bestFit="1" customWidth="1"/>
    <col min="11" max="14" width="17.77734375" customWidth="1"/>
    <col min="15" max="15" width="80.88671875" bestFit="1" customWidth="1"/>
  </cols>
  <sheetData>
    <row r="1" spans="1:15" x14ac:dyDescent="0.3">
      <c r="A1" t="s">
        <v>126</v>
      </c>
      <c r="B1" t="s">
        <v>127</v>
      </c>
      <c r="C1" t="s">
        <v>128</v>
      </c>
      <c r="D1" t="s">
        <v>129</v>
      </c>
      <c r="E1" t="s">
        <v>172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159</v>
      </c>
      <c r="L1" t="s">
        <v>160</v>
      </c>
      <c r="M1" t="s">
        <v>161</v>
      </c>
      <c r="N1" t="s">
        <v>88</v>
      </c>
      <c r="O1" t="s">
        <v>135</v>
      </c>
    </row>
    <row r="2" spans="1:15" x14ac:dyDescent="0.3">
      <c r="A2" t="s">
        <v>116</v>
      </c>
      <c r="B2" t="s">
        <v>61</v>
      </c>
      <c r="C2" t="s">
        <v>156</v>
      </c>
      <c r="D2" t="s">
        <v>63</v>
      </c>
      <c r="E2" t="s">
        <v>174</v>
      </c>
      <c r="F2" t="s">
        <v>61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 t="s">
        <v>162</v>
      </c>
      <c r="N2" t="s">
        <v>177</v>
      </c>
      <c r="O2" t="s">
        <v>136</v>
      </c>
    </row>
    <row r="3" spans="1:15" x14ac:dyDescent="0.3">
      <c r="A3" t="s">
        <v>117</v>
      </c>
      <c r="B3" t="s">
        <v>61</v>
      </c>
      <c r="C3" t="s">
        <v>51</v>
      </c>
      <c r="D3" t="s">
        <v>69</v>
      </c>
      <c r="E3" t="s">
        <v>173</v>
      </c>
      <c r="F3" t="s">
        <v>68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  <c r="M3" t="s">
        <v>163</v>
      </c>
      <c r="N3" t="s">
        <v>177</v>
      </c>
      <c r="O3" t="s">
        <v>137</v>
      </c>
    </row>
    <row r="4" spans="1:15" x14ac:dyDescent="0.3">
      <c r="A4" t="s">
        <v>118</v>
      </c>
      <c r="B4" t="s">
        <v>138</v>
      </c>
      <c r="C4" t="s">
        <v>156</v>
      </c>
      <c r="D4" t="s">
        <v>63</v>
      </c>
      <c r="E4" t="s">
        <v>174</v>
      </c>
      <c r="F4" t="s">
        <v>73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  <c r="M4" t="s">
        <v>164</v>
      </c>
      <c r="N4" t="s">
        <v>177</v>
      </c>
      <c r="O4" t="s">
        <v>139</v>
      </c>
    </row>
    <row r="5" spans="1:15" x14ac:dyDescent="0.3">
      <c r="A5" t="s">
        <v>119</v>
      </c>
      <c r="B5" t="s">
        <v>140</v>
      </c>
      <c r="C5" t="s">
        <v>51</v>
      </c>
      <c r="D5" t="s">
        <v>79</v>
      </c>
      <c r="E5" t="s">
        <v>174</v>
      </c>
      <c r="F5" t="s">
        <v>78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 t="s">
        <v>165</v>
      </c>
      <c r="N5" t="s">
        <v>177</v>
      </c>
      <c r="O5" t="s">
        <v>141</v>
      </c>
    </row>
    <row r="6" spans="1:15" x14ac:dyDescent="0.3">
      <c r="A6" t="s">
        <v>120</v>
      </c>
      <c r="B6" t="s">
        <v>61</v>
      </c>
      <c r="C6" t="s">
        <v>52</v>
      </c>
      <c r="D6" t="s">
        <v>79</v>
      </c>
      <c r="E6" t="s">
        <v>174</v>
      </c>
      <c r="F6" t="s">
        <v>111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 t="s">
        <v>166</v>
      </c>
      <c r="N6" t="s">
        <v>178</v>
      </c>
      <c r="O6" t="s">
        <v>142</v>
      </c>
    </row>
    <row r="7" spans="1:15" x14ac:dyDescent="0.3">
      <c r="A7" t="s">
        <v>121</v>
      </c>
      <c r="B7" t="s">
        <v>143</v>
      </c>
      <c r="C7" t="s">
        <v>144</v>
      </c>
      <c r="D7" t="s">
        <v>112</v>
      </c>
      <c r="E7" t="s">
        <v>175</v>
      </c>
      <c r="F7" t="s">
        <v>87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 t="s">
        <v>167</v>
      </c>
      <c r="N7" t="s">
        <v>177</v>
      </c>
      <c r="O7" t="s">
        <v>145</v>
      </c>
    </row>
    <row r="8" spans="1:15" x14ac:dyDescent="0.3">
      <c r="A8" t="s">
        <v>122</v>
      </c>
      <c r="B8" t="s">
        <v>146</v>
      </c>
      <c r="C8" t="s">
        <v>147</v>
      </c>
      <c r="D8" t="s">
        <v>69</v>
      </c>
      <c r="E8" t="s">
        <v>173</v>
      </c>
      <c r="F8" t="s">
        <v>92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 t="s">
        <v>168</v>
      </c>
      <c r="N8" t="s">
        <v>179</v>
      </c>
      <c r="O8" t="s">
        <v>148</v>
      </c>
    </row>
    <row r="9" spans="1:15" x14ac:dyDescent="0.3">
      <c r="A9" t="s">
        <v>123</v>
      </c>
      <c r="B9" t="s">
        <v>149</v>
      </c>
      <c r="C9" t="s">
        <v>54</v>
      </c>
      <c r="D9" t="s">
        <v>97</v>
      </c>
      <c r="E9" t="s">
        <v>175</v>
      </c>
      <c r="F9" t="s">
        <v>113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 t="s">
        <v>169</v>
      </c>
      <c r="N9" t="s">
        <v>177</v>
      </c>
      <c r="O9" t="s">
        <v>150</v>
      </c>
    </row>
    <row r="10" spans="1:15" x14ac:dyDescent="0.3">
      <c r="A10" t="s">
        <v>124</v>
      </c>
      <c r="B10" t="s">
        <v>151</v>
      </c>
      <c r="C10" t="s">
        <v>55</v>
      </c>
      <c r="D10" t="s">
        <v>69</v>
      </c>
      <c r="E10" t="s">
        <v>173</v>
      </c>
      <c r="F10" t="s">
        <v>114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 t="s">
        <v>170</v>
      </c>
      <c r="N10" s="2">
        <v>0.98</v>
      </c>
      <c r="O10" t="s">
        <v>152</v>
      </c>
    </row>
    <row r="11" spans="1:15" x14ac:dyDescent="0.3">
      <c r="A11" t="s">
        <v>125</v>
      </c>
      <c r="B11" t="s">
        <v>153</v>
      </c>
      <c r="C11" t="s">
        <v>154</v>
      </c>
      <c r="D11" t="s">
        <v>107</v>
      </c>
      <c r="E11" t="s">
        <v>175</v>
      </c>
      <c r="F11" t="s">
        <v>115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 t="s">
        <v>171</v>
      </c>
      <c r="N11" s="2">
        <v>0.95</v>
      </c>
      <c r="O11" t="s">
        <v>155</v>
      </c>
    </row>
    <row r="16" spans="1:15" x14ac:dyDescent="0.3">
      <c r="B16" t="s">
        <v>63</v>
      </c>
      <c r="C16">
        <v>2</v>
      </c>
      <c r="F16" t="s">
        <v>156</v>
      </c>
      <c r="G16">
        <v>2</v>
      </c>
      <c r="I16" t="s">
        <v>158</v>
      </c>
      <c r="J16">
        <f>SUM(G2:G11)</f>
        <v>5</v>
      </c>
      <c r="L16" t="s">
        <v>159</v>
      </c>
      <c r="M16">
        <f>SUM(K2:K11)</f>
        <v>3</v>
      </c>
    </row>
    <row r="17" spans="2:13" x14ac:dyDescent="0.3">
      <c r="B17" t="s">
        <v>69</v>
      </c>
      <c r="C17">
        <v>3</v>
      </c>
      <c r="F17" t="s">
        <v>157</v>
      </c>
      <c r="G17">
        <v>2</v>
      </c>
      <c r="I17" t="s">
        <v>132</v>
      </c>
      <c r="J17">
        <f>SUM(H2:H11)</f>
        <v>4</v>
      </c>
      <c r="L17" t="s">
        <v>160</v>
      </c>
      <c r="M17">
        <f>SUM(L2:L11)</f>
        <v>5</v>
      </c>
    </row>
    <row r="18" spans="2:13" x14ac:dyDescent="0.3">
      <c r="B18" t="s">
        <v>79</v>
      </c>
      <c r="C18">
        <v>2</v>
      </c>
      <c r="F18" t="s">
        <v>52</v>
      </c>
      <c r="G18">
        <v>1</v>
      </c>
      <c r="I18" t="s">
        <v>133</v>
      </c>
      <c r="J18">
        <f>SUM(I2:I11)</f>
        <v>4</v>
      </c>
      <c r="L18" t="s">
        <v>161</v>
      </c>
      <c r="M18">
        <v>3</v>
      </c>
    </row>
    <row r="19" spans="2:13" x14ac:dyDescent="0.3">
      <c r="B19" t="s">
        <v>112</v>
      </c>
      <c r="C19">
        <v>1</v>
      </c>
      <c r="F19" t="s">
        <v>105</v>
      </c>
      <c r="G19">
        <v>4</v>
      </c>
      <c r="I19" t="s">
        <v>134</v>
      </c>
      <c r="J19">
        <f>SUM(J2:J11)</f>
        <v>6</v>
      </c>
    </row>
    <row r="20" spans="2:13" x14ac:dyDescent="0.3">
      <c r="B20" t="s">
        <v>97</v>
      </c>
      <c r="C20">
        <v>1</v>
      </c>
      <c r="F20" t="s">
        <v>54</v>
      </c>
      <c r="G20">
        <v>1</v>
      </c>
    </row>
    <row r="21" spans="2:13" x14ac:dyDescent="0.3">
      <c r="B21" t="s">
        <v>107</v>
      </c>
      <c r="C21">
        <v>1</v>
      </c>
    </row>
    <row r="23" spans="2:13" x14ac:dyDescent="0.3">
      <c r="B23" t="s">
        <v>172</v>
      </c>
      <c r="C23" t="s">
        <v>176</v>
      </c>
    </row>
    <row r="24" spans="2:13" x14ac:dyDescent="0.3">
      <c r="B24" t="s">
        <v>173</v>
      </c>
      <c r="C24">
        <v>3</v>
      </c>
      <c r="H24" s="2"/>
    </row>
    <row r="25" spans="2:13" x14ac:dyDescent="0.3">
      <c r="B25" t="s">
        <v>174</v>
      </c>
      <c r="C25">
        <v>4</v>
      </c>
      <c r="H25" s="2"/>
    </row>
    <row r="26" spans="2:13" x14ac:dyDescent="0.3">
      <c r="B26" t="s">
        <v>175</v>
      </c>
      <c r="C26">
        <v>3</v>
      </c>
      <c r="H26" s="2"/>
    </row>
    <row r="27" spans="2:13" x14ac:dyDescent="0.3">
      <c r="H27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6F92-20F1-44B5-802F-AB2EA3409EA2}">
  <dimension ref="A1"/>
  <sheetViews>
    <sheetView workbookViewId="0">
      <selection activeCell="I38" sqref="I38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A1817E-8ACD-4D23-89A6-5C021FC7DB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Selected Papers</vt:lpstr>
      <vt:lpstr>Initial List of Papers</vt:lpstr>
      <vt:lpstr>Data Extraction Form</vt:lpstr>
      <vt:lpstr>Tabulated Data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SERGIU-RAREŞ GOIAN</dc:creator>
  <cp:lastModifiedBy>SERGIU-RAREŞ GOIAN</cp:lastModifiedBy>
  <dcterms:created xsi:type="dcterms:W3CDTF">2026-01-26T08:46:48Z</dcterms:created>
  <dcterms:modified xsi:type="dcterms:W3CDTF">2026-01-27T16:14:15Z</dcterms:modified>
</cp:coreProperties>
</file>